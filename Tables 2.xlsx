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<sst xmlns="http://schemas.openxmlformats.org/spreadsheetml/2006/main" count="11" uniqueCount="11">
  <si>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年份</t>
  </si>
  <si>
    <t>访客数量（阿拉斯加）</t>
  </si>
  <si>
    <t>访客数量(Juneau)</t>
  </si>
  <si>
    <t>MT CO2e</t>
  </si>
  <si>
    <t>locals</t>
  </si>
  <si>
    <t>当地就业人口</t>
  </si>
  <si>
    <t>当地人口收入</t>
  </si>
  <si>
    <t>房产税</t>
  </si>
  <si>
    <t>基础设施维护成本</t>
  </si>
  <si>
    <t>政府旅游收入</t>
  </si>
  <si>
    <t>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</si>
</sst>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Aptos Narrow"/>
      <charset val="134"/>
      <scheme val="minor"/>
    </font>
    <font>
      <sz val="12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88" zoomScaleNormal="88" workbookViewId="0">
      <selection activeCell="C2" sqref="C2:C14"/>
    </sheetView>
  </sheetViews>
  <sheetFormatPr defaultColWidth="11" defaultRowHeight="17.6"/>
  <cols>
    <col min="2" max="2" width="24.3333333333333" customWidth="1"/>
    <col min="3" max="3" width="36.8333333333333" customWidth="1"/>
    <col min="6" max="6" width="15.3333333333333" customWidth="1"/>
    <col min="7" max="8" width="14.3333333333333" customWidth="1"/>
    <col min="9" max="9" width="17.8333333333333" customWidth="1"/>
    <col min="10" max="10" width="11.4444444444444"/>
    <col min="11" max="11" width="12.5555555555556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2010</v>
      </c>
      <c r="B2" s="1">
        <v>1532400</v>
      </c>
      <c r="C2" s="1">
        <v>1120324</v>
      </c>
      <c r="D2" s="1">
        <v>32594</v>
      </c>
      <c r="E2" s="1">
        <v>26273</v>
      </c>
      <c r="F2" s="1">
        <v>20631</v>
      </c>
      <c r="G2" s="1">
        <v>37616</v>
      </c>
      <c r="H2" s="1">
        <v>71327273</v>
      </c>
      <c r="I2" s="1">
        <v>341501140</v>
      </c>
      <c r="J2">
        <v>133938556</v>
      </c>
      <c r="K2">
        <f>J2/I2</f>
        <v>0.392205296884221</v>
      </c>
    </row>
    <row r="3" spans="1:11">
      <c r="A3">
        <v>2011</v>
      </c>
      <c r="B3" s="1">
        <v>1556800</v>
      </c>
      <c r="C3" s="1">
        <v>1162602</v>
      </c>
      <c r="D3" s="1">
        <v>54494</v>
      </c>
      <c r="E3" s="1">
        <v>28757</v>
      </c>
      <c r="F3" s="1">
        <v>18369</v>
      </c>
      <c r="G3" s="1">
        <v>38894</v>
      </c>
      <c r="H3" s="1">
        <v>72076967</v>
      </c>
      <c r="I3" s="1">
        <v>344046880</v>
      </c>
      <c r="J3">
        <v>143149718</v>
      </c>
      <c r="K3">
        <f t="shared" ref="K3:K14" si="0">J3/I3</f>
        <v>0.416076198685481</v>
      </c>
    </row>
    <row r="4" spans="1:11">
      <c r="A4">
        <v>2012</v>
      </c>
      <c r="B4" s="1">
        <v>1586600</v>
      </c>
      <c r="C4" s="1">
        <v>1204400</v>
      </c>
      <c r="D4" s="1">
        <v>35735</v>
      </c>
      <c r="E4" s="1">
        <v>30264</v>
      </c>
      <c r="F4" s="1">
        <v>17395</v>
      </c>
      <c r="G4" s="1">
        <v>40171</v>
      </c>
      <c r="H4" s="1">
        <v>72826667</v>
      </c>
      <c r="I4" s="1">
        <v>346592620</v>
      </c>
      <c r="J4">
        <v>150977413</v>
      </c>
      <c r="K4">
        <f t="shared" si="0"/>
        <v>0.435604811781624</v>
      </c>
    </row>
    <row r="5" spans="1:11">
      <c r="A5">
        <v>2013</v>
      </c>
      <c r="B5" s="1">
        <v>1693800</v>
      </c>
      <c r="C5" s="1">
        <v>1245779</v>
      </c>
      <c r="D5" s="1">
        <v>59172</v>
      </c>
      <c r="E5" s="1">
        <v>31085</v>
      </c>
      <c r="F5" s="1">
        <v>17248</v>
      </c>
      <c r="G5" s="1">
        <v>42413</v>
      </c>
      <c r="H5" s="1">
        <v>75100000</v>
      </c>
      <c r="I5" s="1">
        <v>349138360</v>
      </c>
      <c r="J5">
        <v>127128217</v>
      </c>
      <c r="K5">
        <f t="shared" si="0"/>
        <v>0.364119877861602</v>
      </c>
    </row>
    <row r="6" spans="1:11">
      <c r="A6">
        <v>2014</v>
      </c>
      <c r="B6" s="1">
        <v>1659600</v>
      </c>
      <c r="C6" s="1">
        <v>1286801</v>
      </c>
      <c r="D6" s="1">
        <v>36413</v>
      </c>
      <c r="E6" s="1">
        <v>31307</v>
      </c>
      <c r="F6" s="1">
        <v>17351</v>
      </c>
      <c r="G6" s="1">
        <v>44893</v>
      </c>
      <c r="H6" s="1">
        <v>74800000</v>
      </c>
      <c r="I6" s="1">
        <v>351684100</v>
      </c>
      <c r="J6">
        <v>124876299</v>
      </c>
      <c r="K6">
        <f t="shared" si="0"/>
        <v>0.35508087798112</v>
      </c>
    </row>
    <row r="7" spans="1:11">
      <c r="A7">
        <v>2015</v>
      </c>
      <c r="B7" s="1">
        <v>1780000</v>
      </c>
      <c r="C7" s="1">
        <v>1327528</v>
      </c>
      <c r="D7" s="1">
        <v>38523</v>
      </c>
      <c r="E7" s="1">
        <v>31477</v>
      </c>
      <c r="F7" s="1">
        <v>17836</v>
      </c>
      <c r="G7" s="1">
        <v>43577</v>
      </c>
      <c r="H7" s="1">
        <v>74700000</v>
      </c>
      <c r="I7" s="1">
        <v>354299850</v>
      </c>
      <c r="J7">
        <v>135455697</v>
      </c>
      <c r="K7">
        <f t="shared" si="0"/>
        <v>0.382319374394316</v>
      </c>
    </row>
    <row r="8" spans="1:11">
      <c r="A8">
        <v>2017</v>
      </c>
      <c r="B8" s="1">
        <v>1926300</v>
      </c>
      <c r="C8" s="1">
        <v>1408344</v>
      </c>
      <c r="D8" s="1">
        <v>38158</v>
      </c>
      <c r="E8" s="1">
        <v>31156</v>
      </c>
      <c r="F8" s="1">
        <v>17970</v>
      </c>
      <c r="G8" s="1">
        <v>45736.5</v>
      </c>
      <c r="H8" s="1">
        <v>75800000</v>
      </c>
      <c r="I8" s="1">
        <v>359230330</v>
      </c>
      <c r="J8">
        <v>146842730</v>
      </c>
      <c r="K8">
        <f t="shared" si="0"/>
        <v>0.408770412008362</v>
      </c>
    </row>
    <row r="9" spans="1:11">
      <c r="A9">
        <v>2018</v>
      </c>
      <c r="B9" s="1">
        <v>2026300</v>
      </c>
      <c r="C9" s="1">
        <v>1448557</v>
      </c>
      <c r="D9" s="1">
        <v>37820</v>
      </c>
      <c r="E9" s="1">
        <v>31075</v>
      </c>
      <c r="F9" s="1">
        <v>17562</v>
      </c>
      <c r="G9" s="1">
        <v>44552.5</v>
      </c>
      <c r="H9" s="1">
        <v>76400000</v>
      </c>
      <c r="I9" s="1">
        <v>360453600</v>
      </c>
      <c r="J9">
        <v>149118313</v>
      </c>
      <c r="K9">
        <f t="shared" si="0"/>
        <v>0.413696278799823</v>
      </c>
    </row>
    <row r="10" spans="1:11">
      <c r="A10">
        <v>2019</v>
      </c>
      <c r="B10" s="1">
        <v>2213000</v>
      </c>
      <c r="C10" s="1">
        <v>1305700</v>
      </c>
      <c r="D10" s="1">
        <v>42404</v>
      </c>
      <c r="E10" s="1">
        <v>31054</v>
      </c>
      <c r="F10" s="1">
        <v>17132</v>
      </c>
      <c r="G10" s="1">
        <v>46539</v>
      </c>
      <c r="H10" s="1">
        <v>77300000</v>
      </c>
      <c r="I10" s="1">
        <v>365484500</v>
      </c>
      <c r="J10">
        <v>156735285</v>
      </c>
      <c r="K10">
        <f t="shared" si="0"/>
        <v>0.428842495372581</v>
      </c>
    </row>
    <row r="11" spans="1:11">
      <c r="A11">
        <v>2020</v>
      </c>
      <c r="B11" s="1">
        <v>2173960</v>
      </c>
      <c r="C11" s="1">
        <v>1167000</v>
      </c>
      <c r="D11" s="1">
        <v>59740</v>
      </c>
      <c r="E11" s="1">
        <v>31131</v>
      </c>
      <c r="F11" s="1">
        <v>16364</v>
      </c>
      <c r="G11" s="1">
        <v>52172</v>
      </c>
      <c r="H11" s="1">
        <v>78800000</v>
      </c>
      <c r="I11" s="1">
        <v>367965800</v>
      </c>
      <c r="J11">
        <v>147529680</v>
      </c>
      <c r="K11">
        <f t="shared" si="0"/>
        <v>0.400933130198513</v>
      </c>
    </row>
    <row r="12" spans="1:11">
      <c r="A12">
        <v>2021</v>
      </c>
      <c r="B12" s="1">
        <v>2245002</v>
      </c>
      <c r="C12" s="1">
        <v>1650000</v>
      </c>
      <c r="D12" s="1">
        <v>53676</v>
      </c>
      <c r="E12" s="1">
        <v>31267</v>
      </c>
      <c r="F12" s="1">
        <v>16350</v>
      </c>
      <c r="G12" s="1">
        <v>50388</v>
      </c>
      <c r="H12" s="1">
        <v>80200000</v>
      </c>
      <c r="I12" s="1">
        <v>369928500</v>
      </c>
      <c r="J12">
        <v>150015935</v>
      </c>
      <c r="K12">
        <f t="shared" si="0"/>
        <v>0.405526838294427</v>
      </c>
    </row>
    <row r="13" spans="1:11">
      <c r="A13">
        <v>2022</v>
      </c>
      <c r="B13" s="1">
        <v>2316044</v>
      </c>
      <c r="C13" s="1">
        <v>1609554</v>
      </c>
      <c r="D13" s="1">
        <v>57401</v>
      </c>
      <c r="E13" s="1">
        <v>31282</v>
      </c>
      <c r="F13" s="1">
        <v>16345</v>
      </c>
      <c r="G13" s="1">
        <v>56480</v>
      </c>
      <c r="H13" s="1">
        <v>81500000</v>
      </c>
      <c r="I13" s="1">
        <v>370960300</v>
      </c>
      <c r="J13">
        <v>164743397</v>
      </c>
      <c r="K13">
        <f t="shared" si="0"/>
        <v>0.444099805289137</v>
      </c>
    </row>
    <row r="14" spans="1:11">
      <c r="A14">
        <v>2023</v>
      </c>
      <c r="B14" s="1">
        <v>2387086</v>
      </c>
      <c r="C14" s="1">
        <v>1650149</v>
      </c>
      <c r="D14" s="1">
        <v>52758</v>
      </c>
      <c r="E14" s="1">
        <v>31175</v>
      </c>
      <c r="F14" s="1">
        <v>17591</v>
      </c>
      <c r="G14" s="1">
        <v>54224</v>
      </c>
      <c r="H14" s="1">
        <v>81073333</v>
      </c>
      <c r="I14" s="1">
        <v>374595760</v>
      </c>
      <c r="J14">
        <v>179760843</v>
      </c>
      <c r="K14">
        <f t="shared" si="0"/>
        <v>0.479879545353103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Junhan Fu (SDS,123090114)</dc:creator>
  <cp:lastModifiedBy>微信用户</cp:lastModifiedBy>
  <dcterms:created xsi:type="dcterms:W3CDTF">2025-01-27T03:06:00Z</dcterms:created>
  <dcterms:modified xsi:type="dcterms:W3CDTF">2025-01-24T20:47:50Z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1033-6.4.0.8550</vt:lpwstr>
  </property>
  <property fmtid="{D5CDD505-2E9C-101B-9397-08002B2CF9AE}" pid="3" name="ICV">
    <vt:lpwstr>8079AA8AA72C221304379367C1D1B403_43</vt:lpwstr>
  </property>
</Properties>
</file>