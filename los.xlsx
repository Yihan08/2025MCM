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700" windowHeight="1550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<sst xmlns="http://schemas.openxmlformats.org/spreadsheetml/2006/main" count="20" uniqueCount="18">
  <si>
    <t>年份</t>
  </si>
  <si>
    <t>total_visitors</t>
  </si>
  <si>
    <t>Hollywood visitors</t>
  </si>
  <si>
    <t>Hollywood_MT_CO2e</t>
  </si>
  <si>
    <t>Disney visitors</t>
  </si>
  <si>
    <t>Disney_MT_CO2e</t>
  </si>
  <si>
    <t>Griffith_visitors</t>
  </si>
  <si>
    <t>Griffith_MT_CO2e</t>
  </si>
  <si>
    <t>America Tropical Interpretive Center visitors</t>
  </si>
  <si>
    <t>ATIC MT CO2e</t>
  </si>
  <si>
    <t>Avila Adobe visitors</t>
  </si>
  <si>
    <t>Avila Adobe MT CO2e</t>
  </si>
  <si>
    <t>Chinese American Museum visitors</t>
  </si>
  <si>
    <t>CAM MT CO2e</t>
  </si>
  <si>
    <t>Satisfaction</t>
  </si>
  <si>
    <t>Infrastructure</t>
  </si>
  <si>
    <t>popular_destination_coefficient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</si>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</sst>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9"/>
  <sheetViews>
    <sheetView tabSelected="1" zoomScale="120" zoomScaleNormal="120" topLeftCell="A3" workbookViewId="0">
      <selection activeCell="Q22" sqref="Q22"/>
    </sheetView>
  </sheetViews>
  <sheetFormatPr defaultColWidth="9.234375" defaultRowHeight="16.8"/>
  <cols>
    <col min="15" max="15" width="12.8046875" customWidth="1"/>
    <col min="16" max="16" width="13.3359375" customWidth="1"/>
    <col min="17" max="17" width="30.109375" customWidth="1"/>
  </cols>
  <sheetData>
    <row r="1" spans="1:17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t="s">
        <v>16</v>
      </c>
    </row>
    <row r="2" spans="1:17">
      <c r="A2" s="1">
        <v>2012</v>
      </c>
      <c r="B2" s="1">
        <v>41400000</v>
      </c>
      <c r="C2" s="1">
        <v>5910000</v>
      </c>
      <c r="D2" s="1">
        <v>217680</v>
      </c>
      <c r="E2" s="1">
        <v>15963000</v>
      </c>
      <c r="F2" s="1">
        <v>393422</v>
      </c>
      <c r="G2" s="1">
        <v>969479</v>
      </c>
      <c r="H2" s="1">
        <v>74326</v>
      </c>
      <c r="I2" s="1">
        <v>120237</v>
      </c>
      <c r="J2" s="1">
        <v>33964</v>
      </c>
      <c r="K2" s="1">
        <v>374760</v>
      </c>
      <c r="L2" s="1">
        <v>65519</v>
      </c>
      <c r="M2" s="1">
        <v>29250</v>
      </c>
      <c r="N2" s="1">
        <v>4082</v>
      </c>
      <c r="O2">
        <v>0.59</v>
      </c>
      <c r="P2">
        <v>1190000000</v>
      </c>
      <c r="Q2">
        <f>1/B2*P2</f>
        <v>28.743961352657</v>
      </c>
    </row>
    <row r="3" spans="1:17">
      <c r="A3" s="1">
        <v>2013</v>
      </c>
      <c r="B3" s="1">
        <v>42200000</v>
      </c>
      <c r="C3" s="1">
        <v>6150000</v>
      </c>
      <c r="D3" s="1">
        <v>205088</v>
      </c>
      <c r="E3" s="1">
        <v>16202000</v>
      </c>
      <c r="F3" s="1">
        <v>398433</v>
      </c>
      <c r="G3" s="1">
        <v>1033429</v>
      </c>
      <c r="H3" s="1">
        <v>61908</v>
      </c>
      <c r="I3" s="1">
        <v>110794</v>
      </c>
      <c r="J3" s="1">
        <v>22202</v>
      </c>
      <c r="K3" s="1">
        <v>350990</v>
      </c>
      <c r="L3" s="1">
        <v>80820</v>
      </c>
      <c r="M3" s="1">
        <v>27824</v>
      </c>
      <c r="N3" s="1">
        <v>3836</v>
      </c>
      <c r="O3">
        <v>0.58</v>
      </c>
      <c r="P3">
        <v>1287738900</v>
      </c>
      <c r="Q3">
        <f t="shared" ref="Q3:Q11" si="0">1/B3*P3</f>
        <v>30.5151398104265</v>
      </c>
    </row>
    <row r="4" spans="1:17">
      <c r="A4" s="1">
        <v>2014</v>
      </c>
      <c r="B4" s="1">
        <v>44200000</v>
      </c>
      <c r="C4" s="1">
        <v>6820000</v>
      </c>
      <c r="D4" s="1">
        <v>220774</v>
      </c>
      <c r="E4" s="1">
        <v>16769000</v>
      </c>
      <c r="F4" s="1">
        <v>420033</v>
      </c>
      <c r="G4" s="1">
        <v>1155104</v>
      </c>
      <c r="H4" s="1">
        <v>65628</v>
      </c>
      <c r="I4" s="1">
        <v>96917</v>
      </c>
      <c r="J4" s="1">
        <v>18599</v>
      </c>
      <c r="K4" s="1">
        <v>333315</v>
      </c>
      <c r="L4" s="1">
        <v>62905</v>
      </c>
      <c r="M4" s="1">
        <v>25304</v>
      </c>
      <c r="N4" s="1">
        <v>3915</v>
      </c>
      <c r="O4">
        <v>0.6</v>
      </c>
      <c r="P4">
        <v>1286342800</v>
      </c>
      <c r="Q4">
        <f t="shared" si="0"/>
        <v>29.102778280543</v>
      </c>
    </row>
    <row r="5" spans="1:17">
      <c r="A5" s="1">
        <v>2015</v>
      </c>
      <c r="B5" s="1">
        <v>45600000</v>
      </c>
      <c r="C5" s="1">
        <v>7100000</v>
      </c>
      <c r="D5" s="1">
        <v>219617</v>
      </c>
      <c r="E5" s="1">
        <v>18278000</v>
      </c>
      <c r="F5" s="1">
        <v>432233</v>
      </c>
      <c r="G5" s="1">
        <v>1264376</v>
      </c>
      <c r="H5" s="1">
        <v>79715</v>
      </c>
      <c r="I5" s="1">
        <v>108548</v>
      </c>
      <c r="J5" s="1">
        <v>18399</v>
      </c>
      <c r="K5" s="1">
        <v>317517</v>
      </c>
      <c r="L5" s="1">
        <v>55757</v>
      </c>
      <c r="M5" s="1">
        <v>29359</v>
      </c>
      <c r="N5" s="1">
        <v>3974</v>
      </c>
      <c r="O5">
        <v>0.6</v>
      </c>
      <c r="P5">
        <v>1281242800</v>
      </c>
      <c r="Q5">
        <f t="shared" si="0"/>
        <v>28.0974298245614</v>
      </c>
    </row>
    <row r="6" spans="1:17">
      <c r="A6" s="1">
        <v>2016</v>
      </c>
      <c r="B6" s="1">
        <v>47300000</v>
      </c>
      <c r="C6" s="1">
        <v>8090000</v>
      </c>
      <c r="D6" s="1">
        <v>221994</v>
      </c>
      <c r="E6" s="1">
        <v>17943000</v>
      </c>
      <c r="F6" s="1">
        <v>458420</v>
      </c>
      <c r="G6" s="1">
        <v>1417282</v>
      </c>
      <c r="H6" s="1">
        <v>62854</v>
      </c>
      <c r="I6" s="1">
        <v>86422</v>
      </c>
      <c r="J6" s="1">
        <v>22464</v>
      </c>
      <c r="K6" s="1">
        <v>280784</v>
      </c>
      <c r="L6" s="1">
        <v>80409</v>
      </c>
      <c r="M6" s="1">
        <v>37284</v>
      </c>
      <c r="N6" s="1">
        <v>8089</v>
      </c>
      <c r="O6">
        <v>0.59</v>
      </c>
      <c r="P6">
        <v>1269872100</v>
      </c>
      <c r="Q6">
        <f t="shared" si="0"/>
        <v>26.8471902748414</v>
      </c>
    </row>
    <row r="7" spans="1:17">
      <c r="A7" s="1">
        <v>2017</v>
      </c>
      <c r="B7" s="1">
        <v>48300000</v>
      </c>
      <c r="C7" s="1">
        <v>9060000</v>
      </c>
      <c r="D7" s="1">
        <v>224529</v>
      </c>
      <c r="E7" s="1">
        <v>18300000</v>
      </c>
      <c r="F7" s="1">
        <v>456548</v>
      </c>
      <c r="G7" s="1">
        <v>1565700</v>
      </c>
      <c r="H7" s="1">
        <v>62387</v>
      </c>
      <c r="I7" s="1">
        <v>75880</v>
      </c>
      <c r="J7" s="1">
        <v>29118</v>
      </c>
      <c r="K7" s="1">
        <v>270314</v>
      </c>
      <c r="L7" s="1">
        <v>50774</v>
      </c>
      <c r="M7" s="1">
        <v>36739</v>
      </c>
      <c r="N7" s="1">
        <v>6657</v>
      </c>
      <c r="O7">
        <v>0.59</v>
      </c>
      <c r="P7">
        <v>1393956800</v>
      </c>
      <c r="Q7">
        <f t="shared" si="0"/>
        <v>28.8603892339545</v>
      </c>
    </row>
    <row r="8" spans="1:17">
      <c r="A8" s="1">
        <v>2018</v>
      </c>
      <c r="B8" s="1">
        <v>48900000</v>
      </c>
      <c r="C8" s="1">
        <v>9150000</v>
      </c>
      <c r="D8" s="1">
        <v>224013</v>
      </c>
      <c r="E8" s="1">
        <v>18666000</v>
      </c>
      <c r="F8" s="1">
        <v>501661</v>
      </c>
      <c r="G8" s="1">
        <v>1628315</v>
      </c>
      <c r="H8" s="1">
        <v>85932</v>
      </c>
      <c r="I8" s="1">
        <v>50719</v>
      </c>
      <c r="J8" s="1">
        <v>21479</v>
      </c>
      <c r="K8" s="1">
        <v>235430</v>
      </c>
      <c r="L8" s="1">
        <v>57670</v>
      </c>
      <c r="M8" s="1">
        <v>33946</v>
      </c>
      <c r="N8" s="1">
        <v>5752</v>
      </c>
      <c r="O8">
        <v>0.56</v>
      </c>
      <c r="P8">
        <v>1401048200</v>
      </c>
      <c r="Q8">
        <f t="shared" si="0"/>
        <v>28.6512924335378</v>
      </c>
    </row>
    <row r="9" spans="1:17">
      <c r="A9" s="1">
        <v>2019</v>
      </c>
      <c r="B9" s="1">
        <v>49400000</v>
      </c>
      <c r="C9" s="1">
        <v>9150000</v>
      </c>
      <c r="D9" s="1">
        <v>225529</v>
      </c>
      <c r="E9" s="1">
        <v>18666000</v>
      </c>
      <c r="F9" s="1">
        <v>515989</v>
      </c>
      <c r="G9" s="1">
        <v>1532916</v>
      </c>
      <c r="H9" s="1">
        <v>67912</v>
      </c>
      <c r="I9" s="1">
        <v>48164</v>
      </c>
      <c r="J9" s="1">
        <v>13136</v>
      </c>
      <c r="K9" s="1">
        <v>221526</v>
      </c>
      <c r="L9" s="1">
        <v>40612</v>
      </c>
      <c r="M9" s="1">
        <v>32341</v>
      </c>
      <c r="N9" s="1">
        <v>6487</v>
      </c>
      <c r="O9">
        <v>0.56</v>
      </c>
      <c r="P9">
        <v>1500594500</v>
      </c>
      <c r="Q9">
        <f t="shared" si="0"/>
        <v>30.3764068825911</v>
      </c>
    </row>
    <row r="10" ht="13" customHeight="1" spans="1:17">
      <c r="A10" s="1">
        <v>2022</v>
      </c>
      <c r="B10" s="1">
        <v>46200000</v>
      </c>
      <c r="C10" s="1">
        <v>8400000</v>
      </c>
      <c r="D10" s="1">
        <v>211121</v>
      </c>
      <c r="E10" s="1">
        <v>16881000</v>
      </c>
      <c r="F10" s="1">
        <v>520000</v>
      </c>
      <c r="G10" s="1">
        <v>2296400</v>
      </c>
      <c r="H10" s="1">
        <v>72249</v>
      </c>
      <c r="I10" s="1">
        <v>23265</v>
      </c>
      <c r="J10" s="1">
        <v>13954</v>
      </c>
      <c r="K10" s="1">
        <v>117057</v>
      </c>
      <c r="L10" s="1">
        <v>29168</v>
      </c>
      <c r="M10" s="1">
        <v>11143</v>
      </c>
      <c r="N10" s="1">
        <v>3154</v>
      </c>
      <c r="O10">
        <v>0.55</v>
      </c>
      <c r="P10">
        <v>1655536400</v>
      </c>
      <c r="Q10">
        <f t="shared" si="0"/>
        <v>35.8341212121212</v>
      </c>
    </row>
    <row r="11" spans="1:17">
      <c r="A11" s="1">
        <v>2023</v>
      </c>
      <c r="B11" s="1">
        <v>49100000</v>
      </c>
      <c r="C11" s="1">
        <v>9660000</v>
      </c>
      <c r="D11" s="1">
        <v>226921</v>
      </c>
      <c r="E11" s="1">
        <v>17250000</v>
      </c>
      <c r="F11" s="1">
        <v>530000</v>
      </c>
      <c r="G11" s="1">
        <v>2382600</v>
      </c>
      <c r="H11" s="1">
        <v>68343</v>
      </c>
      <c r="I11" s="1">
        <v>28180</v>
      </c>
      <c r="J11" s="1">
        <v>14752</v>
      </c>
      <c r="K11" s="1">
        <v>143323</v>
      </c>
      <c r="L11" s="1">
        <v>35631</v>
      </c>
      <c r="M11" s="1">
        <v>22393</v>
      </c>
      <c r="N11" s="1">
        <v>4001</v>
      </c>
      <c r="O11">
        <v>0.53</v>
      </c>
      <c r="P11">
        <v>1956484900</v>
      </c>
      <c r="Q11">
        <f t="shared" si="0"/>
        <v>39.8469429735234</v>
      </c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9">
      <c r="A13" s="1"/>
      <c r="B13" s="1"/>
      <c r="C13" s="1"/>
      <c r="D13" s="1"/>
      <c r="E13" s="1"/>
      <c r="F13" s="1"/>
      <c r="G13" s="1"/>
      <c r="H13" s="1"/>
      <c r="I13" s="1"/>
    </row>
    <row r="14" spans="1:5">
      <c r="A14" s="1"/>
      <c r="B14" s="1"/>
      <c r="C14" s="1"/>
      <c r="D14" s="1"/>
      <c r="E14" s="1"/>
    </row>
    <row r="15" spans="1:5">
      <c r="A15" s="1"/>
      <c r="B15" s="1"/>
      <c r="C15" s="1"/>
      <c r="D15" s="1"/>
      <c r="E15" s="1"/>
    </row>
    <row r="16" spans="1:5">
      <c r="A16" s="1"/>
      <c r="B16" s="1"/>
      <c r="C16" s="1"/>
      <c r="D16" s="1"/>
      <c r="E16" s="3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  <row r="21" spans="1:5">
      <c r="A21" s="1"/>
      <c r="B21" s="1"/>
      <c r="C21" s="1"/>
      <c r="D21" s="1"/>
      <c r="E21" s="1"/>
    </row>
    <row r="22" spans="1:5">
      <c r="A22" s="1"/>
      <c r="B22" s="1"/>
      <c r="C22" s="1"/>
      <c r="D22" s="1"/>
      <c r="E22" s="1"/>
    </row>
    <row r="23" spans="1:5">
      <c r="A23" s="1"/>
      <c r="B23" s="1"/>
      <c r="C23" s="1"/>
      <c r="D23" s="1"/>
      <c r="E23" s="1"/>
    </row>
    <row r="24" spans="1:5">
      <c r="A24" s="1"/>
      <c r="B24" s="1"/>
      <c r="C24" s="1"/>
      <c r="D24" s="1"/>
      <c r="E24" s="1"/>
    </row>
    <row r="25" spans="3:5">
      <c r="C25" s="1"/>
      <c r="D25" s="1"/>
      <c r="E25" s="1"/>
    </row>
    <row r="26" spans="3:5">
      <c r="C26" s="1"/>
      <c r="D26" s="1"/>
      <c r="E26" s="1"/>
    </row>
    <row r="27" spans="4:5">
      <c r="D27" s="1"/>
      <c r="E27" s="1"/>
    </row>
    <row r="28" spans="4:5">
      <c r="D28" s="1"/>
      <c r="E28" s="1"/>
    </row>
    <row r="29" spans="4:5">
      <c r="D29" s="1"/>
      <c r="E29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C14" sqref="C14"/>
    </sheetView>
  </sheetViews>
  <sheetFormatPr defaultColWidth="9" defaultRowHeight="16.8" outlineLevelCol="5"/>
  <sheetData>
    <row r="1" spans="1:6">
      <c r="A1" s="1" t="s">
        <v>17</v>
      </c>
      <c r="B1" s="1"/>
      <c r="C1" s="1" t="s">
        <v>2</v>
      </c>
      <c r="D1" s="1"/>
      <c r="E1" s="1" t="s">
        <v>3</v>
      </c>
      <c r="F1" s="1"/>
    </row>
    <row r="2" spans="1:6">
      <c r="A2" s="1">
        <v>2012</v>
      </c>
      <c r="B2" s="1"/>
      <c r="C2" s="1">
        <v>5910000</v>
      </c>
      <c r="D2" s="1"/>
      <c r="E2" s="1">
        <v>217680</v>
      </c>
      <c r="F2" s="1"/>
    </row>
    <row r="3" spans="1:6">
      <c r="A3" s="1">
        <v>2013</v>
      </c>
      <c r="B3" s="1"/>
      <c r="C3" s="1">
        <v>6150000</v>
      </c>
      <c r="D3" s="1"/>
      <c r="E3" s="1">
        <v>205088</v>
      </c>
      <c r="F3" s="1"/>
    </row>
    <row r="4" spans="1:6">
      <c r="A4" s="1">
        <v>2014</v>
      </c>
      <c r="B4" s="1"/>
      <c r="C4" s="1">
        <v>6820000</v>
      </c>
      <c r="D4" s="1"/>
      <c r="E4" s="1">
        <v>220774</v>
      </c>
      <c r="F4" s="1"/>
    </row>
    <row r="5" spans="1:6">
      <c r="A5" s="1">
        <v>2015</v>
      </c>
      <c r="B5" s="1"/>
      <c r="C5" s="1">
        <v>7100000</v>
      </c>
      <c r="D5" s="1"/>
      <c r="E5" s="1">
        <v>219617</v>
      </c>
      <c r="F5" s="1"/>
    </row>
    <row r="6" spans="1:6">
      <c r="A6" s="1">
        <v>2016</v>
      </c>
      <c r="B6" s="1"/>
      <c r="C6" s="1">
        <v>8090000</v>
      </c>
      <c r="D6" s="1"/>
      <c r="E6" s="1">
        <v>221994</v>
      </c>
      <c r="F6" s="1"/>
    </row>
    <row r="7" spans="1:6">
      <c r="A7" s="1">
        <v>2017</v>
      </c>
      <c r="B7" s="1"/>
      <c r="C7" s="1">
        <v>9060000</v>
      </c>
      <c r="D7" s="1"/>
      <c r="E7" s="1">
        <v>224529</v>
      </c>
      <c r="F7" s="1"/>
    </row>
    <row r="8" spans="1:6">
      <c r="A8" s="1">
        <v>2018</v>
      </c>
      <c r="B8" s="1"/>
      <c r="C8" s="1">
        <v>9150000</v>
      </c>
      <c r="D8" s="1"/>
      <c r="E8" s="1">
        <v>224013</v>
      </c>
      <c r="F8" s="1"/>
    </row>
    <row r="9" spans="1:6">
      <c r="A9" s="1">
        <v>2019</v>
      </c>
      <c r="B9" s="1"/>
      <c r="C9" s="1">
        <v>9150000</v>
      </c>
      <c r="D9" s="1"/>
      <c r="E9" s="1">
        <v>225529</v>
      </c>
      <c r="F9" s="1"/>
    </row>
    <row r="10" spans="1:6">
      <c r="A10" s="1">
        <v>2022</v>
      </c>
      <c r="B10" s="1"/>
      <c r="C10" s="1">
        <v>8400000</v>
      </c>
      <c r="D10" s="1"/>
      <c r="E10" s="1">
        <v>211121</v>
      </c>
      <c r="F10" s="1"/>
    </row>
    <row r="11" spans="1:6">
      <c r="A11" s="1">
        <v>2023</v>
      </c>
      <c r="B11" s="1"/>
      <c r="C11" s="1">
        <v>9660000</v>
      </c>
      <c r="D11" s="1"/>
      <c r="E11" s="1">
        <v>226921</v>
      </c>
      <c r="F11" s="1"/>
    </row>
  </sheetData>
  <mergeCells count="33">
    <mergeCell ref="A1:B1"/>
    <mergeCell ref="C1:D1"/>
    <mergeCell ref="E1:F1"/>
    <mergeCell ref="A2:B2"/>
    <mergeCell ref="C2:D2"/>
    <mergeCell ref="E2:F2"/>
    <mergeCell ref="A3:B3"/>
    <mergeCell ref="C3:D3"/>
    <mergeCell ref="E3:F3"/>
    <mergeCell ref="A4:B4"/>
    <mergeCell ref="C4:D4"/>
    <mergeCell ref="E4:F4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zhouyihan</dc:creator>
  <cp:lastModifiedBy>微信用户</cp:lastModifiedBy>
  <dcterms:created xsi:type="dcterms:W3CDTF">2025-01-25T10:10:00Z</dcterms:created>
  <dcterms:modified xsi:type="dcterms:W3CDTF">2025-01-28T00:34:30Z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15968C5A52F66AA2BBCA9467D85E9358_43</vt:lpwstr>
  </property>
  <property fmtid="{D5CDD505-2E9C-101B-9397-08002B2CF9AE}" pid="3" name="KSOProductBuildVer">
    <vt:lpwstr>1033-6.4.0.8550</vt:lpwstr>
  </property>
</Properties>
</file>